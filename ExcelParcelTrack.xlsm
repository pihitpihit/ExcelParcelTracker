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80a589be0f2df53/PC/Desktop/테스트/"/>
    </mc:Choice>
  </mc:AlternateContent>
  <xr:revisionPtr revIDLastSave="21153" documentId="8_{85A3D0FF-C146-43EC-9DDD-49D0DEF7AB98}" xr6:coauthVersionLast="47" xr6:coauthVersionMax="47" xr10:uidLastSave="{0CAB2543-10DC-469F-9574-6FB91D17CE50}"/>
  <bookViews>
    <workbookView xWindow="1548" yWindow="1788" windowWidth="23292" windowHeight="22848" xr2:uid="{6FB94472-BE95-4919-9864-AD0133A4500E}"/>
  </bookViews>
  <sheets>
    <sheet name="조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1" l="1"/>
  <c r="G25" i="1"/>
  <c r="G24" i="1"/>
  <c r="G23" i="1"/>
  <c r="G22" i="1"/>
  <c r="G21" i="1"/>
  <c r="G20" i="1"/>
  <c r="G19" i="1"/>
  <c r="G17" i="1"/>
  <c r="G16" i="1"/>
  <c r="G15" i="1"/>
  <c r="G12" i="1"/>
  <c r="G11" i="1"/>
  <c r="G10" i="1"/>
  <c r="G9" i="1"/>
  <c r="G8" i="1"/>
  <c r="G7" i="1"/>
  <c r="G6" i="1"/>
  <c r="G5" i="1"/>
  <c r="G4" i="1"/>
  <c r="G3" i="1"/>
  <c r="G2" i="1"/>
  <c r="J3" i="1"/>
  <c r="J2" i="1"/>
  <c r="J1" i="1"/>
  <c r="J4" i="1" l="1"/>
</calcChain>
</file>

<file path=xl/sharedStrings.xml><?xml version="1.0" encoding="utf-8"?>
<sst xmlns="http://schemas.openxmlformats.org/spreadsheetml/2006/main" count="133" uniqueCount="44">
  <si>
    <t>CJ대한통운</t>
    <phoneticPr fontId="2" type="noConversion"/>
  </si>
  <si>
    <t>6804-7485-8134</t>
    <phoneticPr fontId="2" type="noConversion"/>
  </si>
  <si>
    <t>택배사</t>
    <phoneticPr fontId="2" type="noConversion"/>
  </si>
  <si>
    <t>송장번호</t>
    <phoneticPr fontId="2" type="noConversion"/>
  </si>
  <si>
    <t>배송시간</t>
    <phoneticPr fontId="2" type="noConversion"/>
  </si>
  <si>
    <t>현재위치</t>
    <phoneticPr fontId="2" type="noConversion"/>
  </si>
  <si>
    <t>배송상태</t>
    <phoneticPr fontId="2" type="noConversion"/>
  </si>
  <si>
    <t>총 건수</t>
    <phoneticPr fontId="2" type="noConversion"/>
  </si>
  <si>
    <t>진행률</t>
    <phoneticPr fontId="2" type="noConversion"/>
  </si>
  <si>
    <t>서울서초중앙</t>
  </si>
  <si>
    <t>배송완료</t>
  </si>
  <si>
    <t>-</t>
  </si>
  <si>
    <t>오류</t>
    <phoneticPr fontId="2" type="noConversion"/>
  </si>
  <si>
    <t>6804-7485-8135</t>
    <phoneticPr fontId="2" type="noConversion"/>
  </si>
  <si>
    <t>완료</t>
    <phoneticPr fontId="2" type="noConversion"/>
  </si>
  <si>
    <t>CJ대한통운3</t>
    <phoneticPr fontId="2" type="noConversion"/>
  </si>
  <si>
    <t>test</t>
    <phoneticPr fontId="2" type="noConversion"/>
  </si>
  <si>
    <t>abcd</t>
    <phoneticPr fontId="2" type="noConversion"/>
  </si>
  <si>
    <t>abcd</t>
    <phoneticPr fontId="2" type="noConversion"/>
  </si>
  <si>
    <t>케이호남택배</t>
  </si>
  <si>
    <t>CJ 대한통운택배</t>
  </si>
  <si>
    <t>배달완료</t>
  </si>
  <si>
    <t>우체국택배</t>
    <phoneticPr fontId="2" type="noConversion"/>
  </si>
  <si>
    <t>6091420756063</t>
  </si>
  <si>
    <t>검색 결과 없음.</t>
  </si>
  <si>
    <t>2023.06.21 11:50</t>
  </si>
  <si>
    <t>서울서초우체국</t>
  </si>
  <si>
    <t>대신택배</t>
    <phoneticPr fontId="2" type="noConversion"/>
  </si>
  <si>
    <t>2910-302-090068</t>
    <phoneticPr fontId="2" type="noConversion"/>
  </si>
  <si>
    <t>울산웅촌</t>
  </si>
  <si>
    <t>abcd</t>
    <phoneticPr fontId="2" type="noConversion"/>
  </si>
  <si>
    <t>일양로지스택배</t>
    <phoneticPr fontId="2" type="noConversion"/>
  </si>
  <si>
    <t>경동택배</t>
    <phoneticPr fontId="2" type="noConversion"/>
  </si>
  <si>
    <t>5342602086</t>
  </si>
  <si>
    <t>군산지점</t>
  </si>
  <si>
    <t>미배달(기타)</t>
  </si>
  <si>
    <t>3133292030539</t>
    <phoneticPr fontId="2" type="noConversion"/>
  </si>
  <si>
    <t>신 용현</t>
  </si>
  <si>
    <t>직접확인</t>
    <phoneticPr fontId="2" type="noConversion"/>
  </si>
  <si>
    <t>우체국 택배</t>
    <phoneticPr fontId="2" type="noConversion"/>
  </si>
  <si>
    <t>일양</t>
    <phoneticPr fontId="2" type="noConversion"/>
  </si>
  <si>
    <t>일양 로지스</t>
    <phoneticPr fontId="2" type="noConversion"/>
  </si>
  <si>
    <t>일양로지스 택배</t>
    <phoneticPr fontId="2" type="noConversion"/>
  </si>
  <si>
    <t>지원되지 않는 택배사.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</si>
</sst>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7" fillId="0" borderId="0" xfId="2" applyBorder="1">
      <alignment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 (다음)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E848-2EC2-4357-86B9-054A2BFD78C5}">
  <sheetPr codeName="Sheet1"/>
  <dimension ref="A1:J28"/>
  <sheetViews>
    <sheetView tabSelected="1" workbookViewId="0">
      <selection activeCell="F28" sqref="F28"/>
    </sheetView>
  </sheetViews>
  <sheetFormatPr defaultRowHeight="17.399999999999999" x14ac:dyDescent="0.4"/>
  <cols>
    <col min="1" max="1" width="14.3984375" style="5" customWidth="1"/>
    <col min="2" max="2" width="16.296875" style="6" bestFit="1" customWidth="1"/>
    <col min="3" max="3" width="16.296875" style="5" bestFit="1" customWidth="1"/>
    <col min="4" max="4" width="14.3984375" style="5" bestFit="1" customWidth="1"/>
    <col min="5" max="5" width="8.59765625" style="5" bestFit="1" customWidth="1"/>
    <col min="6" max="6" width="32.69921875" customWidth="1"/>
    <col min="7" max="7" width="15.296875" style="11" customWidth="1"/>
    <col min="8" max="8" width="3" style="11" customWidth="1"/>
    <col min="9" max="10" width="8.796875" style="3"/>
  </cols>
  <sheetData>
    <row r="1" spans="1:10" s="1" customFormat="1" x14ac:dyDescent="0.4">
      <c r="A1" s="1" t="s">
        <v>2</v>
      </c>
      <c r="B1" s="2" t="s">
        <v>3</v>
      </c>
      <c r="C1" s="1" t="s">
        <v>4</v>
      </c>
      <c r="D1" s="1" t="s">
        <v>5</v>
      </c>
      <c r="E1" s="1" t="s">
        <v>6</v>
      </c>
      <c r="F1" s="1" t="s">
        <v>12</v>
      </c>
      <c r="G1" s="10" t="s">
        <v>38</v>
      </c>
      <c r="H1" s="10"/>
      <c r="I1" s="1" t="s">
        <v>7</v>
      </c>
      <c r="J1" s="1">
        <f>COUNTA(A6:A10000)</f>
        <v>21</v>
      </c>
    </row>
    <row r="2" spans="1:10" x14ac:dyDescent="0.4">
      <c r="A2" s="7" t="s">
        <v>32</v>
      </c>
      <c r="B2" s="8" t="s">
        <v>36</v>
      </c>
      <c r="C2" s="9">
        <v>45063.627083333333</v>
      </c>
      <c r="D2" s="7" t="s">
        <v>37</v>
      </c>
      <c r="E2" s="7" t="s">
        <v>10</v>
      </c>
      <c r="F2" s="7"/>
      <c r="G2" s="12" t="str">
        <f>HYPERLINK("https://kdexp.com/service/delivery/etc/delivery.do?barcode=3133292030539", "이동")</f>
        <v>이동</v>
      </c>
      <c r="I2" s="3" t="s">
        <v>14</v>
      </c>
      <c r="J2" s="3">
        <f>COUNTA(E4:E9994)</f>
        <v>23</v>
      </c>
    </row>
    <row r="3" spans="1:10" x14ac:dyDescent="0.4">
      <c r="A3" s="7" t="s">
        <v>31</v>
      </c>
      <c r="B3" s="8" t="s">
        <v>30</v>
      </c>
      <c r="C3" s="9" t="s">
        <v>11</v>
      </c>
      <c r="D3" s="7" t="s">
        <v>11</v>
      </c>
      <c r="E3" s="7" t="s">
        <v>11</v>
      </c>
      <c r="F3" s="7" t="s">
        <v>24</v>
      </c>
      <c r="G3" s="12" t="str">
        <f>HYPERLINK("http://www.ilyanglogis.com/functionality/tracking_result.asp?hawb_no=abcd", "이동")</f>
        <v>이동</v>
      </c>
      <c r="I3" s="3" t="s">
        <v>12</v>
      </c>
      <c r="J3" s="3">
        <f>COUNTA(F3:F9990)</f>
        <v>10</v>
      </c>
    </row>
    <row r="4" spans="1:10" x14ac:dyDescent="0.4">
      <c r="A4" s="7" t="s">
        <v>27</v>
      </c>
      <c r="B4" s="8" t="s">
        <v>28</v>
      </c>
      <c r="C4" s="9">
        <v>45176.275000000001</v>
      </c>
      <c r="D4" s="7" t="s">
        <v>29</v>
      </c>
      <c r="E4" s="7" t="s">
        <v>10</v>
      </c>
      <c r="F4" s="7"/>
      <c r="G4" s="12" t="str">
        <f>HYPERLINK("https://www.ds3211.co.kr/freight/internalFreightSearch.ht?billno=2910302090068", "이동")</f>
        <v>이동</v>
      </c>
      <c r="I4" s="3" t="s">
        <v>8</v>
      </c>
      <c r="J4" s="4">
        <f>J2/J1</f>
        <v>1.0952380952380953</v>
      </c>
    </row>
    <row r="5" spans="1:10" x14ac:dyDescent="0.4">
      <c r="A5" s="7" t="s">
        <v>20</v>
      </c>
      <c r="B5" s="7" t="s">
        <v>1</v>
      </c>
      <c r="C5" s="9">
        <v>45181.802777777775</v>
      </c>
      <c r="D5" s="7" t="s">
        <v>9</v>
      </c>
      <c r="E5" s="7" t="s">
        <v>21</v>
      </c>
      <c r="F5" s="7"/>
      <c r="G5" s="12" t="str">
        <f>HYPERLINK("https://www.doortodoor.co.kr/parcel/doortodoor.do?fsp_action=PARC_ACT_002&amp;fsp_cmd=retrieveInvNoACT&amp;invc_no=680474858134", "이동")</f>
        <v>이동</v>
      </c>
    </row>
    <row r="6" spans="1:10" x14ac:dyDescent="0.4">
      <c r="A6" s="7" t="s">
        <v>20</v>
      </c>
      <c r="B6" s="7" t="s">
        <v>1</v>
      </c>
      <c r="C6" s="9">
        <v>45181.802777777775</v>
      </c>
      <c r="D6" s="7" t="s">
        <v>9</v>
      </c>
      <c r="E6" s="7" t="s">
        <v>21</v>
      </c>
      <c r="F6" s="7"/>
      <c r="G6" s="12" t="str">
        <f>HYPERLINK("https://www.doortodoor.co.kr/parcel/doortodoor.do?fsp_action=PARC_ACT_002&amp;fsp_cmd=retrieveInvNoACT&amp;invc_no=680474858134", "이동")</f>
        <v>이동</v>
      </c>
    </row>
    <row r="7" spans="1:10" x14ac:dyDescent="0.4">
      <c r="A7" s="7" t="s">
        <v>20</v>
      </c>
      <c r="B7" s="7" t="s">
        <v>13</v>
      </c>
      <c r="C7" s="9" t="s">
        <v>11</v>
      </c>
      <c r="D7" s="7" t="s">
        <v>11</v>
      </c>
      <c r="E7" s="7" t="s">
        <v>11</v>
      </c>
      <c r="F7" s="7" t="s">
        <v>24</v>
      </c>
      <c r="G7" s="12" t="str">
        <f>HYPERLINK("https://www.doortodoor.co.kr/parcel/doortodoor.do?fsp_action=PARC_ACT_002&amp;fsp_cmd=retrieveInvNoACT&amp;invc_no=680474858135", "이동")</f>
        <v>이동</v>
      </c>
    </row>
    <row r="8" spans="1:10" x14ac:dyDescent="0.4">
      <c r="A8" s="7" t="s">
        <v>0</v>
      </c>
      <c r="B8" s="7" t="s">
        <v>1</v>
      </c>
      <c r="C8" s="9">
        <v>45181.802777777775</v>
      </c>
      <c r="D8" s="7" t="s">
        <v>9</v>
      </c>
      <c r="E8" s="7" t="s">
        <v>21</v>
      </c>
      <c r="F8" s="7"/>
      <c r="G8" s="12" t="str">
        <f>HYPERLINK("https://www.doortodoor.co.kr/parcel/doortodoor.do?fsp_action=PARC_ACT_002&amp;fsp_cmd=retrieveInvNoACT&amp;invc_no=680474858134", "이동")</f>
        <v>이동</v>
      </c>
    </row>
    <row r="9" spans="1:10" x14ac:dyDescent="0.4">
      <c r="A9" s="7" t="s">
        <v>20</v>
      </c>
      <c r="B9" s="7" t="s">
        <v>1</v>
      </c>
      <c r="C9" s="9">
        <v>45181.802777777775</v>
      </c>
      <c r="D9" s="7" t="s">
        <v>9</v>
      </c>
      <c r="E9" s="7" t="s">
        <v>21</v>
      </c>
      <c r="F9" s="7"/>
      <c r="G9" s="12" t="str">
        <f>HYPERLINK("https://www.doortodoor.co.kr/parcel/doortodoor.do?fsp_action=PARC_ACT_002&amp;fsp_cmd=retrieveInvNoACT&amp;invc_no=680474858134", "이동")</f>
        <v>이동</v>
      </c>
    </row>
    <row r="10" spans="1:10" x14ac:dyDescent="0.4">
      <c r="A10" s="7" t="s">
        <v>20</v>
      </c>
      <c r="B10" s="7" t="s">
        <v>1</v>
      </c>
      <c r="C10" s="9">
        <v>45181.802777777775</v>
      </c>
      <c r="D10" s="7" t="s">
        <v>9</v>
      </c>
      <c r="E10" s="7" t="s">
        <v>21</v>
      </c>
      <c r="F10" s="7"/>
      <c r="G10" s="12" t="str">
        <f>HYPERLINK("https://www.doortodoor.co.kr/parcel/doortodoor.do?fsp_action=PARC_ACT_002&amp;fsp_cmd=retrieveInvNoACT&amp;invc_no=680474858134", "이동")</f>
        <v>이동</v>
      </c>
    </row>
    <row r="11" spans="1:10" x14ac:dyDescent="0.4">
      <c r="A11" s="7" t="s">
        <v>0</v>
      </c>
      <c r="B11" s="7" t="s">
        <v>1</v>
      </c>
      <c r="C11" s="9">
        <v>45181.802777777775</v>
      </c>
      <c r="D11" s="7" t="s">
        <v>9</v>
      </c>
      <c r="E11" s="7" t="s">
        <v>21</v>
      </c>
      <c r="F11" s="7"/>
      <c r="G11" s="12" t="str">
        <f>HYPERLINK("https://www.doortodoor.co.kr/parcel/doortodoor.do?fsp_action=PARC_ACT_002&amp;fsp_cmd=retrieveInvNoACT&amp;invc_no=680474858134", "이동")</f>
        <v>이동</v>
      </c>
    </row>
    <row r="12" spans="1:10" x14ac:dyDescent="0.4">
      <c r="A12" s="7" t="s">
        <v>20</v>
      </c>
      <c r="B12" s="7" t="s">
        <v>1</v>
      </c>
      <c r="C12" s="9">
        <v>45181.802777777775</v>
      </c>
      <c r="D12" s="7" t="s">
        <v>9</v>
      </c>
      <c r="E12" s="7" t="s">
        <v>21</v>
      </c>
      <c r="F12" s="7"/>
      <c r="G12" s="12" t="str">
        <f>HYPERLINK("https://www.doortodoor.co.kr/parcel/doortodoor.do?fsp_action=PARC_ACT_002&amp;fsp_cmd=retrieveInvNoACT&amp;invc_no=680474858134", "이동")</f>
        <v>이동</v>
      </c>
    </row>
    <row r="13" spans="1:10" x14ac:dyDescent="0.4">
      <c r="A13" s="7" t="s">
        <v>15</v>
      </c>
      <c r="B13" s="7" t="s">
        <v>1</v>
      </c>
      <c r="C13" s="7" t="s">
        <v>11</v>
      </c>
      <c r="D13" s="7" t="s">
        <v>11</v>
      </c>
      <c r="E13" s="7" t="s">
        <v>11</v>
      </c>
      <c r="F13" s="7" t="s">
        <v>43</v>
      </c>
    </row>
    <row r="14" spans="1:10" x14ac:dyDescent="0.4">
      <c r="A14" s="7" t="s">
        <v>16</v>
      </c>
      <c r="B14" s="8" t="s">
        <v>17</v>
      </c>
      <c r="C14" s="7" t="s">
        <v>11</v>
      </c>
      <c r="D14" s="7" t="s">
        <v>11</v>
      </c>
      <c r="E14" s="7" t="s">
        <v>11</v>
      </c>
      <c r="F14" s="7" t="s">
        <v>43</v>
      </c>
    </row>
    <row r="15" spans="1:10" x14ac:dyDescent="0.4">
      <c r="A15" s="7" t="s">
        <v>22</v>
      </c>
      <c r="B15" s="7" t="s">
        <v>18</v>
      </c>
      <c r="C15" s="7" t="s">
        <v>11</v>
      </c>
      <c r="D15" s="7" t="s">
        <v>11</v>
      </c>
      <c r="E15" s="7" t="s">
        <v>11</v>
      </c>
      <c r="F15" s="7" t="s">
        <v>24</v>
      </c>
      <c r="G15" s="12" t="str">
        <f>HYPERLINK("https://service.epost.go.kr/trace.RetrieveDomRigiTraceList.comm?sid1=abcd&amp;displayHeader=N", "이동")</f>
        <v>이동</v>
      </c>
    </row>
    <row r="16" spans="1:10" x14ac:dyDescent="0.4">
      <c r="A16" s="7" t="s">
        <v>22</v>
      </c>
      <c r="B16" s="8" t="s">
        <v>23</v>
      </c>
      <c r="C16" s="9" t="s">
        <v>25</v>
      </c>
      <c r="D16" s="7" t="s">
        <v>26</v>
      </c>
      <c r="E16" s="7" t="s">
        <v>21</v>
      </c>
      <c r="F16" s="7"/>
      <c r="G16" s="12" t="str">
        <f>HYPERLINK("https://service.epost.go.kr/trace.RetrieveDomRigiTraceList.comm?sid1=6091420756063&amp;displayHeader=N", "이동")</f>
        <v>이동</v>
      </c>
    </row>
    <row r="17" spans="1:7" x14ac:dyDescent="0.4">
      <c r="A17" s="7" t="s">
        <v>39</v>
      </c>
      <c r="B17" s="8" t="s">
        <v>23</v>
      </c>
      <c r="C17" s="9" t="s">
        <v>25</v>
      </c>
      <c r="D17" s="7" t="s">
        <v>26</v>
      </c>
      <c r="E17" s="7" t="s">
        <v>21</v>
      </c>
      <c r="F17" s="7"/>
      <c r="G17" s="12" t="str">
        <f>HYPERLINK("https://service.epost.go.kr/trace.RetrieveDomRigiTraceList.comm?sid1=6091420756063&amp;displayHeader=N", "이동")</f>
        <v>이동</v>
      </c>
    </row>
    <row r="18" spans="1:7" x14ac:dyDescent="0.4">
      <c r="A18" s="7" t="s">
        <v>19</v>
      </c>
      <c r="B18" s="8" t="s">
        <v>23</v>
      </c>
      <c r="C18" s="9" t="s">
        <v>11</v>
      </c>
      <c r="D18" s="7" t="s">
        <v>11</v>
      </c>
      <c r="E18" s="7" t="s">
        <v>11</v>
      </c>
      <c r="F18" s="7" t="s">
        <v>43</v>
      </c>
      <c r="G18" s="12"/>
    </row>
    <row r="19" spans="1:7" x14ac:dyDescent="0.4">
      <c r="A19" s="7" t="s">
        <v>31</v>
      </c>
      <c r="B19" s="8" t="s">
        <v>33</v>
      </c>
      <c r="C19" s="9">
        <v>45182.895138888889</v>
      </c>
      <c r="D19" s="7" t="s">
        <v>34</v>
      </c>
      <c r="E19" s="7" t="s">
        <v>35</v>
      </c>
      <c r="F19" s="7"/>
      <c r="G19" s="12" t="str">
        <f>HYPERLINK("http://www.ilyanglogis.com/functionality/tracking_result.asp?hawb_no=5342602086", "이동")</f>
        <v>이동</v>
      </c>
    </row>
    <row r="20" spans="1:7" x14ac:dyDescent="0.4">
      <c r="A20" s="7" t="s">
        <v>40</v>
      </c>
      <c r="B20" s="8" t="s">
        <v>33</v>
      </c>
      <c r="C20" s="9">
        <v>45182.895138888889</v>
      </c>
      <c r="D20" s="7" t="s">
        <v>34</v>
      </c>
      <c r="E20" s="7" t="s">
        <v>35</v>
      </c>
      <c r="F20" s="7"/>
      <c r="G20" s="12" t="str">
        <f>HYPERLINK("http://www.ilyanglogis.com/functionality/tracking_result.asp?hawb_no=5342602086", "이동")</f>
        <v>이동</v>
      </c>
    </row>
    <row r="21" spans="1:7" x14ac:dyDescent="0.4">
      <c r="A21" s="7" t="s">
        <v>41</v>
      </c>
      <c r="B21" s="8" t="s">
        <v>33</v>
      </c>
      <c r="C21" s="9">
        <v>45182.895138888889</v>
      </c>
      <c r="D21" s="7" t="s">
        <v>34</v>
      </c>
      <c r="E21" s="7" t="s">
        <v>35</v>
      </c>
      <c r="F21" s="7"/>
      <c r="G21" s="12" t="str">
        <f>HYPERLINK("http://www.ilyanglogis.com/functionality/tracking_result.asp?hawb_no=5342602086", "이동")</f>
        <v>이동</v>
      </c>
    </row>
    <row r="22" spans="1:7" x14ac:dyDescent="0.4">
      <c r="A22" s="7" t="s">
        <v>42</v>
      </c>
      <c r="B22" s="8" t="s">
        <v>33</v>
      </c>
      <c r="C22" s="9">
        <v>45182.895138888889</v>
      </c>
      <c r="D22" s="7" t="s">
        <v>34</v>
      </c>
      <c r="E22" s="7" t="s">
        <v>35</v>
      </c>
      <c r="F22" s="7"/>
      <c r="G22" s="12" t="str">
        <f>HYPERLINK("http://www.ilyanglogis.com/functionality/tracking_result.asp?hawb_no=5342602086", "이동")</f>
        <v>이동</v>
      </c>
    </row>
    <row r="23" spans="1:7" x14ac:dyDescent="0.4">
      <c r="A23" s="7" t="s">
        <v>31</v>
      </c>
      <c r="B23" s="8" t="s">
        <v>30</v>
      </c>
      <c r="C23" s="5" t="s">
        <v>11</v>
      </c>
      <c r="D23" s="5" t="s">
        <v>11</v>
      </c>
      <c r="E23" s="5" t="s">
        <v>11</v>
      </c>
      <c r="F23" t="s">
        <v>24</v>
      </c>
      <c r="G23" s="12" t="str">
        <f>HYPERLINK("http://www.ilyanglogis.com/functionality/tracking_result.asp?hawb_no=abcd", "이동")</f>
        <v>이동</v>
      </c>
    </row>
    <row r="24" spans="1:7" x14ac:dyDescent="0.4">
      <c r="A24" s="7" t="s">
        <v>31</v>
      </c>
      <c r="B24" s="8" t="s">
        <v>30</v>
      </c>
      <c r="C24" s="5" t="s">
        <v>11</v>
      </c>
      <c r="D24" s="5" t="s">
        <v>11</v>
      </c>
      <c r="E24" s="5" t="s">
        <v>11</v>
      </c>
      <c r="F24" t="s">
        <v>24</v>
      </c>
      <c r="G24" s="12" t="str">
        <f>HYPERLINK("http://www.ilyanglogis.com/functionality/tracking_result.asp?hawb_no=abcd", "이동")</f>
        <v>이동</v>
      </c>
    </row>
    <row r="25" spans="1:7" x14ac:dyDescent="0.4">
      <c r="A25" s="7" t="s">
        <v>31</v>
      </c>
      <c r="B25" s="8" t="s">
        <v>30</v>
      </c>
      <c r="C25" s="5" t="s">
        <v>11</v>
      </c>
      <c r="D25" s="5" t="s">
        <v>11</v>
      </c>
      <c r="E25" s="5" t="s">
        <v>11</v>
      </c>
      <c r="F25" t="s">
        <v>24</v>
      </c>
      <c r="G25" s="12" t="str">
        <f>HYPERLINK("http://www.ilyanglogis.com/functionality/tracking_result.asp?hawb_no=abcd", "이동")</f>
        <v>이동</v>
      </c>
    </row>
    <row r="26" spans="1:7" x14ac:dyDescent="0.4">
      <c r="A26" s="7" t="s">
        <v>31</v>
      </c>
      <c r="B26" s="8" t="s">
        <v>30</v>
      </c>
      <c r="C26" s="5" t="s">
        <v>11</v>
      </c>
      <c r="D26" s="5" t="s">
        <v>11</v>
      </c>
      <c r="E26" s="5" t="s">
        <v>11</v>
      </c>
      <c r="F26" t="s">
        <v>24</v>
      </c>
      <c r="G26" s="12" t="str">
        <f>HYPERLINK("http://www.ilyanglogis.com/functionality/tracking_result.asp?hawb_no=abcd", "이동")</f>
        <v>이동</v>
      </c>
    </row>
    <row r="27" spans="1:7" x14ac:dyDescent="0.4">
      <c r="A27" s="7"/>
      <c r="B27" s="8"/>
    </row>
    <row r="28" spans="1:7" x14ac:dyDescent="0.4">
      <c r="A28" s="7"/>
      <c r="B28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현재_통합_문서.parcel_clearResult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현재_통합_문서.parcel_track_multivendo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Hyoik</dc:creator>
  <cp:lastModifiedBy>Lee Hyoik</cp:lastModifiedBy>
  <dcterms:created xsi:type="dcterms:W3CDTF">2023-09-14T03:39:47Z</dcterms:created>
  <dcterms:modified xsi:type="dcterms:W3CDTF">2023-09-15T19:21:58Z</dcterms:modified>
</cp:coreProperties>
</file>